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98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<sst xmlns="http://schemas.openxmlformats.org/spreadsheetml/2006/main" count="197" uniqueCount="116">
  <si>
    <t>variable</t>
  </si>
  <si>
    <t>Bin</t>
  </si>
  <si>
    <t>WoE</t>
  </si>
  <si>
    <t>Coef</t>
  </si>
  <si>
    <t>Bin Points</t>
  </si>
  <si>
    <t>N (Number of Vars)</t>
  </si>
  <si>
    <t>grade</t>
  </si>
  <si>
    <t>A</t>
  </si>
  <si>
    <t>Base Odds</t>
  </si>
  <si>
    <t>B</t>
  </si>
  <si>
    <t>PDO</t>
  </si>
  <si>
    <t>C</t>
  </si>
  <si>
    <t>Factor</t>
  </si>
  <si>
    <t>D</t>
  </si>
  <si>
    <t>Base Score</t>
  </si>
  <si>
    <t>E</t>
  </si>
  <si>
    <t>Offset</t>
  </si>
  <si>
    <t>F</t>
  </si>
  <si>
    <t>Intercept</t>
  </si>
  <si>
    <t>G</t>
  </si>
  <si>
    <t>Intercept/n</t>
  </si>
  <si>
    <t>tot_coll_amt</t>
  </si>
  <si>
    <t>(-inf, 108.50)</t>
  </si>
  <si>
    <t>Offset/n</t>
  </si>
  <si>
    <t>[108.50, inf)</t>
  </si>
  <si>
    <t>Missing</t>
  </si>
  <si>
    <t>=coeff_xi*woe_xij+intercept/N*-factor</t>
  </si>
  <si>
    <t>loan_to_annl_inc</t>
  </si>
  <si>
    <t>(-inf, 0.06)</t>
  </si>
  <si>
    <t>[0.06, 0.12)</t>
  </si>
  <si>
    <t>[0.12, 0.16)</t>
  </si>
  <si>
    <t>[0.16, 0.19)</t>
  </si>
  <si>
    <t>[0.19, 0.23)</t>
  </si>
  <si>
    <t>[0.23, 0.24)</t>
  </si>
  <si>
    <t>[0.24, 0.27)</t>
  </si>
  <si>
    <t>[0.27, 0.30)</t>
  </si>
  <si>
    <t>[0.30, 0.34)</t>
  </si>
  <si>
    <t>[0.34, 0.38)</t>
  </si>
  <si>
    <t>[0.38, inf)</t>
  </si>
  <si>
    <t>total_rec_int</t>
  </si>
  <si>
    <t>(-inf, 355.57)</t>
  </si>
  <si>
    <t>[355.57, 567.09)</t>
  </si>
  <si>
    <t>[567.09, 769.52)</t>
  </si>
  <si>
    <t>[769.52, 945.18)</t>
  </si>
  <si>
    <t>[945.18, 1428.64)</t>
  </si>
  <si>
    <t>[1428.64, 1863.84)</t>
  </si>
  <si>
    <t>[1863.84, 2488.11)</t>
  </si>
  <si>
    <t>[2488.11, 6874.39)</t>
  </si>
  <si>
    <t>[6874.39, inf)</t>
  </si>
  <si>
    <t>inq_last_6mths</t>
  </si>
  <si>
    <t>(-inf, 0.50)</t>
  </si>
  <si>
    <t>[0.50, 1.50)</t>
  </si>
  <si>
    <t>[1.50, 2.50)</t>
  </si>
  <si>
    <t>[2.50, inf)</t>
  </si>
  <si>
    <t>initial_list_status</t>
  </si>
  <si>
    <t>W</t>
  </si>
  <si>
    <t>term</t>
  </si>
  <si>
    <t>three_year</t>
  </si>
  <si>
    <t>five_year</t>
  </si>
  <si>
    <t>credit_history_length</t>
  </si>
  <si>
    <t>(-inf, 88.50)</t>
  </si>
  <si>
    <t>[88.50, 105.50)</t>
  </si>
  <si>
    <t>[105.50, 140.50)</t>
  </si>
  <si>
    <t>[140.50, 153.50)</t>
  </si>
  <si>
    <t>[153.50, 162.50)</t>
  </si>
  <si>
    <t>[162.50, 176.50)</t>
  </si>
  <si>
    <t>[176.50, 205.50)</t>
  </si>
  <si>
    <t>[205.50, 227.50)</t>
  </si>
  <si>
    <t>[227.50, 297.50)</t>
  </si>
  <si>
    <t>[297.50, 359.50)</t>
  </si>
  <si>
    <t>[359.50, inf)</t>
  </si>
  <si>
    <t>purpose</t>
  </si>
  <si>
    <t>credit_card</t>
  </si>
  <si>
    <t>car</t>
  </si>
  <si>
    <t>home_improvement</t>
  </si>
  <si>
    <t>major_purchase</t>
  </si>
  <si>
    <t>debt_consolidation</t>
  </si>
  <si>
    <t>vacation</t>
  </si>
  <si>
    <t>house</t>
  </si>
  <si>
    <t>medical</t>
  </si>
  <si>
    <t>wedding</t>
  </si>
  <si>
    <t>other</t>
  </si>
  <si>
    <t>moving</t>
  </si>
  <si>
    <t>renewable_energy</t>
  </si>
  <si>
    <t>small_business</t>
  </si>
  <si>
    <t>educational</t>
  </si>
  <si>
    <t>revol_util</t>
  </si>
  <si>
    <t>(-inf, 25.85)</t>
  </si>
  <si>
    <t>[25.85, 31.85)</t>
  </si>
  <si>
    <t>[31.85, 38.75)</t>
  </si>
  <si>
    <t>[38.75, 45.05)</t>
  </si>
  <si>
    <t>[45.05, 51.05)</t>
  </si>
  <si>
    <t>[51.05, 57.85)</t>
  </si>
  <si>
    <t>[57.85, 63.15)</t>
  </si>
  <si>
    <t>[63.15, 67.05)</t>
  </si>
  <si>
    <t>[67.05, 74.75)</t>
  </si>
  <si>
    <t>[74.75, 86.45)</t>
  </si>
  <si>
    <t>[86.45, 92.45)</t>
  </si>
  <si>
    <t>[92.45, inf)</t>
  </si>
  <si>
    <t>verification_status</t>
  </si>
  <si>
    <t>not_verified</t>
  </si>
  <si>
    <t>source_verified</t>
  </si>
  <si>
    <t>verified</t>
  </si>
  <si>
    <t>dti</t>
  </si>
  <si>
    <t>(-inf, 5.29)</t>
  </si>
  <si>
    <t>[5.29, 8.86)</t>
  </si>
  <si>
    <t>[8.86, 10.28)</t>
  </si>
  <si>
    <t>[10.28, 13.38)</t>
  </si>
  <si>
    <t>[13.38, 15.34)</t>
  </si>
  <si>
    <t>[15.34, 16.48)</t>
  </si>
  <si>
    <t>[16.48, 18.14)</t>
  </si>
  <si>
    <t>[18.14, 20.73)</t>
  </si>
  <si>
    <t>[20.73, 22.40)</t>
  </si>
  <si>
    <t>[22.40, 24.20)</t>
  </si>
  <si>
    <t>[24.20, 27.36)</t>
  </si>
  <si>
    <t>[27.36, inf)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</si>
</sst>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2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>
      <alignment vertical="center"/>
    </xf>
    <xf numFmtId="2" fontId="0" fillId="3" borderId="1" xfId="0" applyNumberFormat="1" applyFill="1" applyBorder="1">
      <alignment vertical="center"/>
    </xf>
    <xf numFmtId="0" fontId="1" fillId="0" borderId="1" xfId="0" applyFont="1" applyBorder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>
      <alignment vertical="center"/>
    </xf>
    <xf numFmtId="2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>
      <alignment vertical="center"/>
    </xf>
    <xf numFmtId="2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2" fontId="0" fillId="5" borderId="1" xfId="0" applyNumberFormat="1" applyFill="1" applyBorder="1" applyAlignment="1">
      <alignment horizontal="center" vertical="center"/>
    </xf>
    <xf numFmtId="178" fontId="0" fillId="5" borderId="1" xfId="0" applyNumberFormat="1" applyFill="1" applyBorder="1">
      <alignment vertical="center"/>
    </xf>
    <xf numFmtId="2" fontId="0" fillId="5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2" fontId="0" fillId="6" borderId="1" xfId="0" applyNumberFormat="1" applyFill="1" applyBorder="1" applyAlignment="1">
      <alignment horizontal="center" vertical="center"/>
    </xf>
    <xf numFmtId="178" fontId="0" fillId="6" borderId="1" xfId="0" applyNumberFormat="1" applyFill="1" applyBorder="1">
      <alignment vertical="center"/>
    </xf>
    <xf numFmtId="2" fontId="0" fillId="6" borderId="1" xfId="0" applyNumberFormat="1" applyFill="1" applyBorder="1">
      <alignment vertical="center"/>
    </xf>
    <xf numFmtId="0" fontId="0" fillId="7" borderId="1" xfId="0" applyFill="1" applyBorder="1">
      <alignment vertical="center"/>
    </xf>
    <xf numFmtId="2" fontId="0" fillId="7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>
      <alignment vertical="center"/>
    </xf>
    <xf numFmtId="2" fontId="0" fillId="7" borderId="1" xfId="0" applyNumberFormat="1" applyFill="1" applyBorder="1">
      <alignment vertical="center"/>
    </xf>
    <xf numFmtId="0" fontId="0" fillId="8" borderId="1" xfId="0" applyFill="1" applyBorder="1">
      <alignment vertical="center"/>
    </xf>
    <xf numFmtId="0" fontId="0" fillId="8" borderId="1" xfId="0" applyFill="1" applyBorder="1" applyAlignment="1">
      <alignment vertical="center" wrapText="1"/>
    </xf>
    <xf numFmtId="2" fontId="0" fillId="8" borderId="1" xfId="0" applyNumberFormat="1" applyFill="1" applyBorder="1" applyAlignment="1">
      <alignment horizontal="center" vertical="center"/>
    </xf>
    <xf numFmtId="178" fontId="0" fillId="8" borderId="1" xfId="0" applyNumberFormat="1" applyFill="1" applyBorder="1">
      <alignment vertical="center"/>
    </xf>
    <xf numFmtId="2" fontId="0" fillId="8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2" fontId="0" fillId="9" borderId="1" xfId="0" applyNumberFormat="1" applyFill="1" applyBorder="1" applyAlignment="1">
      <alignment horizontal="center" vertical="center"/>
    </xf>
    <xf numFmtId="178" fontId="0" fillId="9" borderId="1" xfId="0" applyNumberFormat="1" applyFill="1" applyBorder="1">
      <alignment vertical="center"/>
    </xf>
    <xf numFmtId="2" fontId="0" fillId="9" borderId="1" xfId="0" applyNumberFormat="1" applyFill="1" applyBorder="1">
      <alignment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vertical="center" wrapText="1"/>
    </xf>
    <xf numFmtId="2" fontId="0" fillId="10" borderId="1" xfId="0" applyNumberFormat="1" applyFill="1" applyBorder="1" applyAlignment="1">
      <alignment horizontal="center" vertical="center"/>
    </xf>
    <xf numFmtId="178" fontId="0" fillId="10" borderId="1" xfId="0" applyNumberFormat="1" applyFill="1" applyBorder="1">
      <alignment vertical="center"/>
    </xf>
    <xf numFmtId="2" fontId="0" fillId="10" borderId="1" xfId="0" applyNumberFormat="1" applyFill="1" applyBorder="1">
      <alignment vertical="center"/>
    </xf>
    <xf numFmtId="0" fontId="0" fillId="11" borderId="1" xfId="0" applyFill="1" applyBorder="1" applyAlignment="1">
      <alignment vertical="center"/>
    </xf>
    <xf numFmtId="2" fontId="0" fillId="11" borderId="1" xfId="0" applyNumberFormat="1" applyFill="1" applyBorder="1" applyAlignment="1">
      <alignment horizontal="center" vertical="center"/>
    </xf>
    <xf numFmtId="178" fontId="0" fillId="11" borderId="1" xfId="0" applyNumberFormat="1" applyFill="1" applyBorder="1" applyAlignment="1">
      <alignment vertical="center"/>
    </xf>
    <xf numFmtId="2" fontId="0" fillId="11" borderId="1" xfId="0" applyNumberFormat="1" applyFill="1" applyBorder="1" applyAlignment="1">
      <alignment vertical="center"/>
    </xf>
    <xf numFmtId="0" fontId="0" fillId="12" borderId="1" xfId="0" applyFill="1" applyBorder="1">
      <alignment vertical="center"/>
    </xf>
    <xf numFmtId="2" fontId="0" fillId="12" borderId="1" xfId="0" applyNumberFormat="1" applyFill="1" applyBorder="1" applyAlignment="1">
      <alignment horizontal="center" vertical="center"/>
    </xf>
    <xf numFmtId="178" fontId="0" fillId="12" borderId="1" xfId="0" applyNumberFormat="1" applyFill="1" applyBorder="1">
      <alignment vertical="center"/>
    </xf>
    <xf numFmtId="2" fontId="0" fillId="12" borderId="1" xfId="0" applyNumberFormat="1" applyFill="1" applyBorder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93"/>
  <sheetViews>
    <sheetView showGridLines="0" tabSelected="1" zoomScale="110" zoomScaleNormal="110" workbookViewId="0">
      <selection activeCell="D2" sqref="D2"/>
    </sheetView>
  </sheetViews>
  <sheetFormatPr defaultColWidth="9.02654867256637" defaultRowHeight="14.25"/>
  <cols>
    <col min="2" max="2" width="17.6814159292035" customWidth="1"/>
    <col min="3" max="3" width="24.0088495575221" customWidth="1"/>
    <col min="4" max="4" width="8.08849557522124" customWidth="1"/>
    <col min="5" max="5" width="13.858407079646"/>
    <col min="6" max="6" width="10.5044247787611" customWidth="1"/>
    <col min="8" max="8" width="12.1946902654867" customWidth="1"/>
    <col min="9" max="9" width="12.7964601769912"/>
  </cols>
  <sheetData>
    <row r="2" ht="28.5" spans="2: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s="2" t="s">
        <v>5</v>
      </c>
      <c r="I2" s="3">
        <v>12</v>
      </c>
    </row>
    <row r="3" spans="2:9">
      <c r="B3" s="4" t="s">
        <v>6</v>
      </c>
      <c r="C3" s="5" t="s">
        <v>7</v>
      </c>
      <c r="D3" s="6">
        <v>1.08620971701332</v>
      </c>
      <c r="E3" s="7">
        <v>-0.983860606443128</v>
      </c>
      <c r="F3" s="8">
        <f>((E3*D3)+($I$8/12))*-$I$5</f>
        <v>36.2920737920195</v>
      </c>
      <c r="H3" s="9" t="s">
        <v>8</v>
      </c>
      <c r="I3" s="10">
        <v>9.73111552288458</v>
      </c>
    </row>
    <row r="4" spans="2:9">
      <c r="B4" s="4" t="s">
        <v>6</v>
      </c>
      <c r="C4" s="5" t="s">
        <v>9</v>
      </c>
      <c r="D4" s="6">
        <v>0.345958663318697</v>
      </c>
      <c r="E4" s="7">
        <v>-0.983860606443128</v>
      </c>
      <c r="F4" s="8">
        <f t="shared" ref="F4:F9" si="0">((E4*D4)+($I$8/12))*-$I$5</f>
        <v>15.277666721365</v>
      </c>
      <c r="H4" s="9" t="s">
        <v>10</v>
      </c>
      <c r="I4" s="11">
        <v>20</v>
      </c>
    </row>
    <row r="5" spans="2:9">
      <c r="B5" s="4" t="s">
        <v>6</v>
      </c>
      <c r="C5" s="5" t="s">
        <v>11</v>
      </c>
      <c r="D5" s="6">
        <v>-0.0391125685846382</v>
      </c>
      <c r="E5" s="7">
        <v>-0.983860606443128</v>
      </c>
      <c r="F5" s="8">
        <f t="shared" si="0"/>
        <v>4.34618127730203</v>
      </c>
      <c r="H5" s="9" t="s">
        <v>12</v>
      </c>
      <c r="I5" s="10">
        <f>20/LN(2)</f>
        <v>28.8539008177793</v>
      </c>
    </row>
    <row r="6" spans="2:9">
      <c r="B6" s="4" t="s">
        <v>6</v>
      </c>
      <c r="C6" s="5" t="s">
        <v>13</v>
      </c>
      <c r="D6" s="6">
        <v>-0.380790255342094</v>
      </c>
      <c r="E6" s="7">
        <v>-0.983860606443128</v>
      </c>
      <c r="F6" s="8">
        <f t="shared" si="0"/>
        <v>-5.35343881866988</v>
      </c>
      <c r="H6" s="9" t="s">
        <v>14</v>
      </c>
      <c r="I6" s="11">
        <v>550</v>
      </c>
    </row>
    <row r="7" spans="2:9">
      <c r="B7" s="4" t="s">
        <v>6</v>
      </c>
      <c r="C7" s="5" t="s">
        <v>15</v>
      </c>
      <c r="D7" s="6">
        <v>-0.771347155303789</v>
      </c>
      <c r="E7" s="7">
        <v>-0.983860606443128</v>
      </c>
      <c r="F7" s="8">
        <f t="shared" si="0"/>
        <v>-16.4406525944354</v>
      </c>
      <c r="H7" s="9" t="s">
        <v>16</v>
      </c>
      <c r="I7" s="10">
        <f>550-I5*LN(I3)</f>
        <v>484.347896053858</v>
      </c>
    </row>
    <row r="8" spans="2:9">
      <c r="B8" s="4" t="s">
        <v>6</v>
      </c>
      <c r="C8" s="5" t="s">
        <v>17</v>
      </c>
      <c r="D8" s="6">
        <v>-0.771347155303789</v>
      </c>
      <c r="E8" s="7">
        <v>-0.983860606443128</v>
      </c>
      <c r="F8" s="8">
        <f t="shared" si="0"/>
        <v>-16.4406525944354</v>
      </c>
      <c r="H8" s="9" t="s">
        <v>18</v>
      </c>
      <c r="I8" s="10">
        <v>-2.26930176450536</v>
      </c>
    </row>
    <row r="9" spans="2:9">
      <c r="B9" s="4" t="s">
        <v>6</v>
      </c>
      <c r="C9" s="5" t="s">
        <v>19</v>
      </c>
      <c r="D9" s="6">
        <v>-0.771347155303789</v>
      </c>
      <c r="E9" s="7">
        <v>-0.983860606443128</v>
      </c>
      <c r="F9" s="8">
        <f t="shared" si="0"/>
        <v>-16.4406525944354</v>
      </c>
      <c r="H9" s="12" t="s">
        <v>20</v>
      </c>
      <c r="I9" s="13">
        <f>I8/I2</f>
        <v>-0.189108480375447</v>
      </c>
    </row>
    <row r="10" spans="2:9">
      <c r="B10" s="14" t="s">
        <v>21</v>
      </c>
      <c r="C10" s="14" t="s">
        <v>22</v>
      </c>
      <c r="D10" s="15">
        <v>0.0992565866953021</v>
      </c>
      <c r="E10" s="16">
        <v>-0.995142348923694</v>
      </c>
      <c r="F10" s="17">
        <f t="shared" ref="F10:F12" si="1">((E10*D10)+($I$8/12))*-$I$5</f>
        <v>8.30654502476652</v>
      </c>
      <c r="H10" s="12" t="s">
        <v>23</v>
      </c>
      <c r="I10" s="13">
        <f>I7/I2</f>
        <v>40.3623246711548</v>
      </c>
    </row>
    <row r="11" spans="2:9">
      <c r="B11" s="14" t="s">
        <v>21</v>
      </c>
      <c r="C11" s="14" t="s">
        <v>24</v>
      </c>
      <c r="D11" s="15">
        <v>0.259721294722435</v>
      </c>
      <c r="E11" s="16">
        <v>-0.995142348923694</v>
      </c>
      <c r="F11" s="17">
        <f t="shared" si="1"/>
        <v>12.914086711266</v>
      </c>
    </row>
    <row r="12" spans="2:9">
      <c r="B12" s="14" t="s">
        <v>21</v>
      </c>
      <c r="C12" s="14" t="s">
        <v>25</v>
      </c>
      <c r="D12" s="15">
        <v>-0.557343277030935</v>
      </c>
      <c r="E12" s="16">
        <v>-0.995142348923694</v>
      </c>
      <c r="F12" s="17">
        <f t="shared" si="1"/>
        <v>-10.5468918503185</v>
      </c>
      <c r="H12" s="52" t="s">
        <v>26</v>
      </c>
    </row>
    <row r="13" spans="2:9">
      <c r="B13" s="18" t="s">
        <v>27</v>
      </c>
      <c r="C13" s="18" t="s">
        <v>28</v>
      </c>
      <c r="D13" s="19">
        <v>0.325936925122034</v>
      </c>
      <c r="E13" s="20">
        <v>-1.52877180542859</v>
      </c>
      <c r="F13" s="21">
        <f t="shared" ref="F13:F51" si="2">((E13*D13)+($I$8/12))*-$I$5</f>
        <v>19.8339308339913</v>
      </c>
    </row>
    <row r="14" spans="2:9">
      <c r="B14" s="18" t="s">
        <v>27</v>
      </c>
      <c r="C14" s="18" t="s">
        <v>29</v>
      </c>
      <c r="D14" s="19">
        <v>0.283131700121017</v>
      </c>
      <c r="E14" s="20">
        <v>-1.52877180542859</v>
      </c>
      <c r="F14" s="21">
        <f t="shared" si="2"/>
        <v>17.9457482678091</v>
      </c>
    </row>
    <row r="15" spans="2:9">
      <c r="B15" s="18" t="s">
        <v>27</v>
      </c>
      <c r="C15" s="18" t="s">
        <v>30</v>
      </c>
      <c r="D15" s="19">
        <v>0.224320009077062</v>
      </c>
      <c r="E15" s="20">
        <v>-1.52877180542859</v>
      </c>
      <c r="F15" s="21">
        <f t="shared" si="2"/>
        <v>15.3515039970629</v>
      </c>
    </row>
    <row r="16" spans="2:9">
      <c r="B16" s="18" t="s">
        <v>27</v>
      </c>
      <c r="C16" s="18" t="s">
        <v>31</v>
      </c>
      <c r="D16" s="19">
        <v>0.18037817747136</v>
      </c>
      <c r="E16" s="20">
        <v>-1.52877180542859</v>
      </c>
      <c r="F16" s="21">
        <f t="shared" si="2"/>
        <v>13.41318454279</v>
      </c>
    </row>
    <row r="17" spans="2:6">
      <c r="B17" s="18" t="s">
        <v>27</v>
      </c>
      <c r="C17" s="18" t="s">
        <v>32</v>
      </c>
      <c r="D17" s="19">
        <v>0.101735199582924</v>
      </c>
      <c r="E17" s="20">
        <v>-1.52877180542859</v>
      </c>
      <c r="F17" s="21">
        <f t="shared" si="2"/>
        <v>9.94416178217913</v>
      </c>
    </row>
    <row r="18" spans="2:6">
      <c r="B18" s="18" t="s">
        <v>27</v>
      </c>
      <c r="C18" s="18" t="s">
        <v>33</v>
      </c>
      <c r="D18" s="19">
        <v>0.0674377334243065</v>
      </c>
      <c r="E18" s="20">
        <v>-1.52877180542859</v>
      </c>
      <c r="F18" s="21">
        <f t="shared" si="2"/>
        <v>8.4312652219254</v>
      </c>
    </row>
    <row r="19" spans="2:6">
      <c r="B19" s="18" t="s">
        <v>27</v>
      </c>
      <c r="C19" s="18" t="s">
        <v>34</v>
      </c>
      <c r="D19" s="19">
        <v>-0.0527845631781023</v>
      </c>
      <c r="E19" s="20">
        <v>-1.52877180542859</v>
      </c>
      <c r="F19" s="21">
        <f t="shared" si="2"/>
        <v>3.12813588419477</v>
      </c>
    </row>
    <row r="20" spans="2:6">
      <c r="B20" s="18" t="s">
        <v>27</v>
      </c>
      <c r="C20" s="18" t="s">
        <v>35</v>
      </c>
      <c r="D20" s="19">
        <v>-0.1238631879365</v>
      </c>
      <c r="E20" s="20">
        <v>-1.52877180542859</v>
      </c>
      <c r="F20" s="21">
        <f t="shared" si="2"/>
        <v>-0.0072154682119652</v>
      </c>
    </row>
    <row r="21" spans="2:6">
      <c r="B21" s="18" t="s">
        <v>27</v>
      </c>
      <c r="C21" s="18" t="s">
        <v>36</v>
      </c>
      <c r="D21" s="19">
        <v>-0.236719068475669</v>
      </c>
      <c r="E21" s="20">
        <v>-1.52877180542859</v>
      </c>
      <c r="F21" s="21">
        <f t="shared" si="2"/>
        <v>-4.9854046056394</v>
      </c>
    </row>
    <row r="22" spans="2:6">
      <c r="B22" s="18" t="s">
        <v>27</v>
      </c>
      <c r="C22" s="18" t="s">
        <v>37</v>
      </c>
      <c r="D22" s="19">
        <v>-0.332961130995614</v>
      </c>
      <c r="E22" s="20">
        <v>-1.52877180542859</v>
      </c>
      <c r="F22" s="21">
        <f t="shared" si="2"/>
        <v>-9.23074111722788</v>
      </c>
    </row>
    <row r="23" spans="2:6">
      <c r="B23" s="18" t="s">
        <v>27</v>
      </c>
      <c r="C23" s="18" t="s">
        <v>38</v>
      </c>
      <c r="D23" s="19">
        <v>-0.431271737648662</v>
      </c>
      <c r="E23" s="20">
        <v>-1.52877180542859</v>
      </c>
      <c r="F23" s="21">
        <f t="shared" si="2"/>
        <v>-13.5673232412249</v>
      </c>
    </row>
    <row r="24" spans="2:6">
      <c r="B24" s="22" t="s">
        <v>39</v>
      </c>
      <c r="C24" s="22" t="s">
        <v>40</v>
      </c>
      <c r="D24" s="23">
        <v>-0.614628323307273</v>
      </c>
      <c r="E24" s="24">
        <v>-2.51707533541874</v>
      </c>
      <c r="F24" s="25">
        <f t="shared" si="2"/>
        <v>-39.182365614589</v>
      </c>
    </row>
    <row r="25" spans="2:6">
      <c r="B25" s="22" t="s">
        <v>39</v>
      </c>
      <c r="C25" s="22" t="s">
        <v>41</v>
      </c>
      <c r="D25" s="23">
        <v>-0.323698746512525</v>
      </c>
      <c r="E25" s="24">
        <v>-2.51707533541874</v>
      </c>
      <c r="F25" s="25">
        <f t="shared" si="2"/>
        <v>-18.0528946268457</v>
      </c>
    </row>
    <row r="26" spans="2:6">
      <c r="B26" s="22" t="s">
        <v>39</v>
      </c>
      <c r="C26" s="22" t="s">
        <v>42</v>
      </c>
      <c r="D26" s="23">
        <v>-0.134139844414696</v>
      </c>
      <c r="E26" s="24">
        <v>-2.51707533541874</v>
      </c>
      <c r="F26" s="25">
        <f t="shared" si="2"/>
        <v>-4.28571644416713</v>
      </c>
    </row>
    <row r="27" spans="2:6">
      <c r="B27" s="22" t="s">
        <v>39</v>
      </c>
      <c r="C27" s="22" t="s">
        <v>43</v>
      </c>
      <c r="D27" s="23">
        <v>-0.0798102320595552</v>
      </c>
      <c r="E27" s="24">
        <v>-2.51707533541874</v>
      </c>
      <c r="F27" s="25">
        <f t="shared" si="2"/>
        <v>-0.339895669666854</v>
      </c>
    </row>
    <row r="28" spans="2:6">
      <c r="B28" s="22" t="s">
        <v>39</v>
      </c>
      <c r="C28" s="22" t="s">
        <v>44</v>
      </c>
      <c r="D28" s="23">
        <v>-0.0202506439814147</v>
      </c>
      <c r="E28" s="24">
        <v>-2.51707533541874</v>
      </c>
      <c r="F28" s="25">
        <f t="shared" si="2"/>
        <v>3.98576486373042</v>
      </c>
    </row>
    <row r="29" spans="2:6">
      <c r="B29" s="22" t="s">
        <v>39</v>
      </c>
      <c r="C29" s="22" t="s">
        <v>45</v>
      </c>
      <c r="D29" s="23">
        <v>0.0845049453353694</v>
      </c>
      <c r="E29" s="24">
        <v>-2.51707533541874</v>
      </c>
      <c r="F29" s="25">
        <f t="shared" si="2"/>
        <v>11.593895359292</v>
      </c>
    </row>
    <row r="30" spans="2:6">
      <c r="B30" s="22" t="s">
        <v>39</v>
      </c>
      <c r="C30" s="22" t="s">
        <v>46</v>
      </c>
      <c r="D30" s="23">
        <v>0.11319792854089</v>
      </c>
      <c r="E30" s="24">
        <v>-2.51707533541874</v>
      </c>
      <c r="F30" s="25">
        <f t="shared" si="2"/>
        <v>13.6777933351261</v>
      </c>
    </row>
    <row r="31" spans="2:6">
      <c r="B31" s="22" t="s">
        <v>39</v>
      </c>
      <c r="C31" s="22" t="s">
        <v>47</v>
      </c>
      <c r="D31" s="23">
        <v>0.147861658696332</v>
      </c>
      <c r="E31" s="24">
        <v>-2.51707533541874</v>
      </c>
      <c r="F31" s="25">
        <f t="shared" si="2"/>
        <v>16.1953313892343</v>
      </c>
    </row>
    <row r="32" spans="2:6">
      <c r="B32" s="22" t="s">
        <v>39</v>
      </c>
      <c r="C32" s="22" t="s">
        <v>48</v>
      </c>
      <c r="D32" s="23">
        <v>0.341398614850168</v>
      </c>
      <c r="E32" s="24">
        <v>-2.51707533541874</v>
      </c>
      <c r="F32" s="25">
        <f t="shared" si="2"/>
        <v>30.2514254624528</v>
      </c>
    </row>
    <row r="33" spans="2:6">
      <c r="B33" s="26" t="s">
        <v>49</v>
      </c>
      <c r="C33" s="26" t="s">
        <v>50</v>
      </c>
      <c r="D33" s="27">
        <v>0.1998594741735</v>
      </c>
      <c r="E33" s="28">
        <v>-0.720443880717194</v>
      </c>
      <c r="F33" s="29">
        <f t="shared" si="2"/>
        <v>9.61111939539351</v>
      </c>
    </row>
    <row r="34" spans="2:6">
      <c r="B34" s="26" t="s">
        <v>49</v>
      </c>
      <c r="C34" s="26" t="s">
        <v>51</v>
      </c>
      <c r="D34" s="27">
        <v>-0.0560673580621831</v>
      </c>
      <c r="E34" s="28">
        <v>-0.720443880717194</v>
      </c>
      <c r="F34" s="29">
        <f t="shared" si="2"/>
        <v>4.2910106113807</v>
      </c>
    </row>
    <row r="35" spans="2:6">
      <c r="B35" s="26" t="s">
        <v>49</v>
      </c>
      <c r="C35" s="26" t="s">
        <v>52</v>
      </c>
      <c r="D35" s="27">
        <v>-0.272353256170309</v>
      </c>
      <c r="E35" s="28">
        <v>-0.720443880717194</v>
      </c>
      <c r="F35" s="29">
        <f t="shared" si="2"/>
        <v>-0.20505764504773</v>
      </c>
    </row>
    <row r="36" spans="2:6">
      <c r="B36" s="26" t="s">
        <v>49</v>
      </c>
      <c r="C36" s="26" t="s">
        <v>53</v>
      </c>
      <c r="D36" s="27">
        <v>-0.461657825767713</v>
      </c>
      <c r="E36" s="28">
        <v>-0.720443880717194</v>
      </c>
      <c r="F36" s="29">
        <f t="shared" si="2"/>
        <v>-4.14024839769791</v>
      </c>
    </row>
    <row r="37" spans="2:6">
      <c r="B37" s="4" t="s">
        <v>54</v>
      </c>
      <c r="C37" s="5" t="s">
        <v>55</v>
      </c>
      <c r="D37" s="6">
        <v>0.307523307393673</v>
      </c>
      <c r="E37" s="7">
        <v>-0.730917454463245</v>
      </c>
      <c r="F37" s="8">
        <f t="shared" si="2"/>
        <v>11.942128454433</v>
      </c>
    </row>
    <row r="38" spans="2:6">
      <c r="B38" s="4" t="s">
        <v>54</v>
      </c>
      <c r="C38" s="5" t="s">
        <v>17</v>
      </c>
      <c r="D38" s="6">
        <v>-0.141924596028632</v>
      </c>
      <c r="E38" s="7">
        <v>-0.730917454463245</v>
      </c>
      <c r="F38" s="8">
        <f t="shared" si="2"/>
        <v>2.46335319005431</v>
      </c>
    </row>
    <row r="39" spans="2:6">
      <c r="B39" s="30" t="s">
        <v>56</v>
      </c>
      <c r="C39" s="31" t="s">
        <v>57</v>
      </c>
      <c r="D39" s="32">
        <v>0.135432330358305</v>
      </c>
      <c r="E39" s="33">
        <v>-0.322260011330704</v>
      </c>
      <c r="F39" s="34">
        <f t="shared" si="2"/>
        <v>6.71582922701158</v>
      </c>
    </row>
    <row r="40" spans="2:6">
      <c r="B40" s="30" t="s">
        <v>56</v>
      </c>
      <c r="C40" s="31" t="s">
        <v>58</v>
      </c>
      <c r="D40" s="32">
        <v>-0.291337327398469</v>
      </c>
      <c r="E40" s="33">
        <v>-0.322260011330704</v>
      </c>
      <c r="F40" s="34">
        <f t="shared" si="2"/>
        <v>2.74752931606923</v>
      </c>
    </row>
    <row r="41" spans="2:6">
      <c r="B41" s="35" t="s">
        <v>59</v>
      </c>
      <c r="C41" s="35" t="s">
        <v>60</v>
      </c>
      <c r="D41" s="36">
        <v>-0.347428276370521</v>
      </c>
      <c r="E41" s="37">
        <v>-0.441251620974933</v>
      </c>
      <c r="F41" s="38">
        <f t="shared" si="2"/>
        <v>1.03311940836296</v>
      </c>
    </row>
    <row r="42" spans="2:6">
      <c r="B42" s="35" t="s">
        <v>59</v>
      </c>
      <c r="C42" s="35" t="s">
        <v>61</v>
      </c>
      <c r="D42" s="36">
        <v>-0.171720391385135</v>
      </c>
      <c r="E42" s="37">
        <v>-0.441251620974933</v>
      </c>
      <c r="F42" s="38">
        <f t="shared" si="2"/>
        <v>3.27020241879219</v>
      </c>
    </row>
    <row r="43" spans="2:6">
      <c r="B43" s="35" t="s">
        <v>59</v>
      </c>
      <c r="C43" s="35" t="s">
        <v>62</v>
      </c>
      <c r="D43" s="36">
        <v>-0.153394382765265</v>
      </c>
      <c r="E43" s="37">
        <v>-0.441251620974933</v>
      </c>
      <c r="F43" s="38">
        <f t="shared" si="2"/>
        <v>3.5035260544156</v>
      </c>
    </row>
    <row r="44" spans="2:6">
      <c r="B44" s="35" t="s">
        <v>59</v>
      </c>
      <c r="C44" s="35" t="s">
        <v>63</v>
      </c>
      <c r="D44" s="36">
        <v>-0.105549110822794</v>
      </c>
      <c r="E44" s="37">
        <v>-0.441251620974933</v>
      </c>
      <c r="F44" s="38">
        <f t="shared" si="2"/>
        <v>4.11268394736258</v>
      </c>
    </row>
    <row r="45" spans="2:6">
      <c r="B45" s="35" t="s">
        <v>59</v>
      </c>
      <c r="C45" s="35" t="s">
        <v>64</v>
      </c>
      <c r="D45" s="36">
        <v>-0.0692410867140527</v>
      </c>
      <c r="E45" s="37">
        <v>-0.441251620974933</v>
      </c>
      <c r="F45" s="38">
        <f t="shared" si="2"/>
        <v>4.57495155636986</v>
      </c>
    </row>
    <row r="46" spans="2:6">
      <c r="B46" s="35" t="s">
        <v>59</v>
      </c>
      <c r="C46" s="35" t="s">
        <v>65</v>
      </c>
      <c r="D46" s="36">
        <v>0.0201471454373201</v>
      </c>
      <c r="E46" s="37">
        <v>-0.441251620974933</v>
      </c>
      <c r="F46" s="38">
        <f t="shared" si="2"/>
        <v>5.71302737746788</v>
      </c>
    </row>
    <row r="47" spans="2:6">
      <c r="B47" s="35" t="s">
        <v>59</v>
      </c>
      <c r="C47" s="35" t="s">
        <v>66</v>
      </c>
      <c r="D47" s="36">
        <v>0.0513317914117559</v>
      </c>
      <c r="E47" s="37">
        <v>-0.441251620974933</v>
      </c>
      <c r="F47" s="38">
        <f t="shared" si="2"/>
        <v>6.11006500444439</v>
      </c>
    </row>
    <row r="48" spans="2:6">
      <c r="B48" s="35" t="s">
        <v>59</v>
      </c>
      <c r="C48" s="35" t="s">
        <v>67</v>
      </c>
      <c r="D48" s="36">
        <v>0.104196352554977</v>
      </c>
      <c r="E48" s="37">
        <v>-0.441251620974933</v>
      </c>
      <c r="F48" s="38">
        <f t="shared" si="2"/>
        <v>6.78312763676242</v>
      </c>
    </row>
    <row r="49" spans="2:6">
      <c r="B49" s="35" t="s">
        <v>59</v>
      </c>
      <c r="C49" s="35" t="s">
        <v>68</v>
      </c>
      <c r="D49" s="36">
        <v>0.227527823230985</v>
      </c>
      <c r="E49" s="37">
        <v>-0.441251620974933</v>
      </c>
      <c r="F49" s="38">
        <f t="shared" si="2"/>
        <v>8.35336301762479</v>
      </c>
    </row>
    <row r="50" spans="2:6">
      <c r="B50" s="35" t="s">
        <v>59</v>
      </c>
      <c r="C50" s="35" t="s">
        <v>69</v>
      </c>
      <c r="D50" s="36">
        <v>0.278063033561846</v>
      </c>
      <c r="E50" s="37">
        <v>-0.441251620974933</v>
      </c>
      <c r="F50" s="38">
        <f t="shared" si="2"/>
        <v>8.99676875020781</v>
      </c>
    </row>
    <row r="51" spans="2:6">
      <c r="B51" s="35" t="s">
        <v>59</v>
      </c>
      <c r="C51" s="35" t="s">
        <v>70</v>
      </c>
      <c r="D51" s="36">
        <v>0.34297609237156</v>
      </c>
      <c r="E51" s="37">
        <v>-0.441251620974933</v>
      </c>
      <c r="F51" s="38">
        <f t="shared" si="2"/>
        <v>9.82323081268317</v>
      </c>
    </row>
    <row r="52" spans="2:6">
      <c r="B52" s="39" t="s">
        <v>71</v>
      </c>
      <c r="C52" s="40" t="s">
        <v>72</v>
      </c>
      <c r="D52" s="41">
        <v>0.279004329571169</v>
      </c>
      <c r="E52" s="42">
        <v>-0.286948284197668</v>
      </c>
      <c r="F52" s="43">
        <f t="shared" ref="F52:F81" si="3">((E52*D52)+($I$8/12))*-$I$5</f>
        <v>7.76655525922134</v>
      </c>
    </row>
    <row r="53" spans="2:6">
      <c r="B53" s="39" t="s">
        <v>71</v>
      </c>
      <c r="C53" s="40" t="s">
        <v>73</v>
      </c>
      <c r="D53" s="41">
        <v>0.122025801927567</v>
      </c>
      <c r="E53" s="42">
        <v>-0.286948284197668</v>
      </c>
      <c r="F53" s="43">
        <f t="shared" si="3"/>
        <v>6.46683940012142</v>
      </c>
    </row>
    <row r="54" spans="2:6">
      <c r="B54" s="39" t="s">
        <v>71</v>
      </c>
      <c r="C54" s="40" t="s">
        <v>74</v>
      </c>
      <c r="D54" s="41">
        <v>0.122025801927567</v>
      </c>
      <c r="E54" s="42">
        <v>-0.286948284197668</v>
      </c>
      <c r="F54" s="43">
        <f t="shared" si="3"/>
        <v>6.46683940012142</v>
      </c>
    </row>
    <row r="55" spans="2:6">
      <c r="B55" s="39" t="s">
        <v>71</v>
      </c>
      <c r="C55" s="40" t="s">
        <v>75</v>
      </c>
      <c r="D55" s="41">
        <v>0.122025801927567</v>
      </c>
      <c r="E55" s="42">
        <v>-0.286948284197668</v>
      </c>
      <c r="F55" s="43">
        <f t="shared" si="3"/>
        <v>6.46683940012142</v>
      </c>
    </row>
    <row r="56" spans="2:6">
      <c r="B56" s="39" t="s">
        <v>71</v>
      </c>
      <c r="C56" s="40" t="s">
        <v>76</v>
      </c>
      <c r="D56" s="41">
        <v>-0.0366848983331102</v>
      </c>
      <c r="E56" s="42">
        <v>-0.286948284197668</v>
      </c>
      <c r="F56" s="43">
        <f t="shared" si="3"/>
        <v>5.15278188388593</v>
      </c>
    </row>
    <row r="57" spans="2:6">
      <c r="B57" s="39" t="s">
        <v>71</v>
      </c>
      <c r="C57" s="40" t="s">
        <v>77</v>
      </c>
      <c r="D57" s="41">
        <v>-0.0366848983331102</v>
      </c>
      <c r="E57" s="42">
        <v>-0.286948284197668</v>
      </c>
      <c r="F57" s="43">
        <f t="shared" si="3"/>
        <v>5.15278188388593</v>
      </c>
    </row>
    <row r="58" spans="2:6">
      <c r="B58" s="39" t="s">
        <v>71</v>
      </c>
      <c r="C58" s="40" t="s">
        <v>78</v>
      </c>
      <c r="D58" s="41">
        <v>-0.415465184409662</v>
      </c>
      <c r="E58" s="42">
        <v>-0.286948284197668</v>
      </c>
      <c r="F58" s="43">
        <f t="shared" si="3"/>
        <v>2.01664121345097</v>
      </c>
    </row>
    <row r="59" spans="2:6">
      <c r="B59" s="39" t="s">
        <v>71</v>
      </c>
      <c r="C59" s="40" t="s">
        <v>79</v>
      </c>
      <c r="D59" s="41">
        <v>-0.415465184409662</v>
      </c>
      <c r="E59" s="42">
        <v>-0.286948284197668</v>
      </c>
      <c r="F59" s="43">
        <f t="shared" si="3"/>
        <v>2.01664121345097</v>
      </c>
    </row>
    <row r="60" spans="2:6">
      <c r="B60" s="39" t="s">
        <v>71</v>
      </c>
      <c r="C60" s="40" t="s">
        <v>80</v>
      </c>
      <c r="D60" s="41">
        <v>-0.415465184409662</v>
      </c>
      <c r="E60" s="42">
        <v>-0.286948284197668</v>
      </c>
      <c r="F60" s="43">
        <f t="shared" si="3"/>
        <v>2.01664121345097</v>
      </c>
    </row>
    <row r="61" spans="2:6">
      <c r="B61" s="39" t="s">
        <v>71</v>
      </c>
      <c r="C61" s="40" t="s">
        <v>81</v>
      </c>
      <c r="D61" s="41">
        <v>-0.415465184409662</v>
      </c>
      <c r="E61" s="42">
        <v>-0.286948284197668</v>
      </c>
      <c r="F61" s="43">
        <f t="shared" si="3"/>
        <v>2.01664121345097</v>
      </c>
    </row>
    <row r="62" spans="2:6">
      <c r="B62" s="39" t="s">
        <v>71</v>
      </c>
      <c r="C62" s="40" t="s">
        <v>82</v>
      </c>
      <c r="D62" s="41">
        <v>-0.415465184409662</v>
      </c>
      <c r="E62" s="42">
        <v>-0.286948284197668</v>
      </c>
      <c r="F62" s="43">
        <f t="shared" si="3"/>
        <v>2.01664121345097</v>
      </c>
    </row>
    <row r="63" spans="2:6">
      <c r="B63" s="39" t="s">
        <v>71</v>
      </c>
      <c r="C63" s="40" t="s">
        <v>83</v>
      </c>
      <c r="D63" s="41">
        <v>-0.415465184409662</v>
      </c>
      <c r="E63" s="42">
        <v>-0.286948284197668</v>
      </c>
      <c r="F63" s="43">
        <f t="shared" si="3"/>
        <v>2.01664121345097</v>
      </c>
    </row>
    <row r="64" spans="2:6">
      <c r="B64" s="39" t="s">
        <v>71</v>
      </c>
      <c r="C64" s="40" t="s">
        <v>84</v>
      </c>
      <c r="D64" s="41">
        <v>-0.415465184409662</v>
      </c>
      <c r="E64" s="42">
        <v>-0.286948284197668</v>
      </c>
      <c r="F64" s="43">
        <f t="shared" si="3"/>
        <v>2.01664121345097</v>
      </c>
    </row>
    <row r="65" spans="2:6">
      <c r="B65" s="39" t="s">
        <v>71</v>
      </c>
      <c r="C65" s="40" t="s">
        <v>85</v>
      </c>
      <c r="D65" s="41">
        <v>-0.415465184409662</v>
      </c>
      <c r="E65" s="42">
        <v>-0.286948284197668</v>
      </c>
      <c r="F65" s="43">
        <f t="shared" si="3"/>
        <v>2.01664121345097</v>
      </c>
    </row>
    <row r="66" spans="2:6">
      <c r="B66" s="35" t="s">
        <v>86</v>
      </c>
      <c r="C66" s="35" t="s">
        <v>87</v>
      </c>
      <c r="D66" s="36">
        <v>0.286150387301028</v>
      </c>
      <c r="E66" s="37">
        <v>-0.636075646120525</v>
      </c>
      <c r="F66" s="38">
        <f t="shared" si="3"/>
        <v>10.708310825582</v>
      </c>
    </row>
    <row r="67" spans="2:6">
      <c r="B67" s="35" t="s">
        <v>86</v>
      </c>
      <c r="C67" s="35" t="s">
        <v>88</v>
      </c>
      <c r="D67" s="36">
        <v>0.193575626532611</v>
      </c>
      <c r="E67" s="37">
        <v>-0.636075646120525</v>
      </c>
      <c r="F67" s="38">
        <f t="shared" si="3"/>
        <v>9.00926183795851</v>
      </c>
    </row>
    <row r="68" spans="2:6">
      <c r="B68" s="35" t="s">
        <v>86</v>
      </c>
      <c r="C68" s="35" t="s">
        <v>89</v>
      </c>
      <c r="D68" s="36">
        <v>0.164162894833964</v>
      </c>
      <c r="E68" s="37">
        <v>-0.636075646120525</v>
      </c>
      <c r="F68" s="38">
        <f t="shared" si="3"/>
        <v>8.46944221972756</v>
      </c>
    </row>
    <row r="69" spans="2:6">
      <c r="B69" s="35" t="s">
        <v>86</v>
      </c>
      <c r="C69" s="35" t="s">
        <v>90</v>
      </c>
      <c r="D69" s="36">
        <v>0.111659776902913</v>
      </c>
      <c r="E69" s="37">
        <v>-0.636075646120525</v>
      </c>
      <c r="F69" s="38">
        <f t="shared" si="3"/>
        <v>7.50583865621434</v>
      </c>
    </row>
    <row r="70" spans="2:6">
      <c r="B70" s="35" t="s">
        <v>86</v>
      </c>
      <c r="C70" s="35" t="s">
        <v>91</v>
      </c>
      <c r="D70" s="36">
        <v>0.0807902490296408</v>
      </c>
      <c r="E70" s="37">
        <v>-0.636075646120525</v>
      </c>
      <c r="F70" s="38">
        <f t="shared" si="3"/>
        <v>6.93928207377061</v>
      </c>
    </row>
    <row r="71" spans="2:6">
      <c r="B71" s="35" t="s">
        <v>86</v>
      </c>
      <c r="C71" s="35" t="s">
        <v>92</v>
      </c>
      <c r="D71" s="36">
        <v>0.0414057294078031</v>
      </c>
      <c r="E71" s="37">
        <v>-0.636075646120525</v>
      </c>
      <c r="F71" s="38">
        <f t="shared" si="3"/>
        <v>6.21644760316454</v>
      </c>
    </row>
    <row r="72" spans="2:6">
      <c r="B72" s="35" t="s">
        <v>86</v>
      </c>
      <c r="C72" s="35" t="s">
        <v>93</v>
      </c>
      <c r="D72" s="36">
        <v>-0.00879698258340866</v>
      </c>
      <c r="E72" s="37">
        <v>-0.636075646120525</v>
      </c>
      <c r="F72" s="38">
        <f t="shared" si="3"/>
        <v>5.29506399626546</v>
      </c>
    </row>
    <row r="73" spans="2:6">
      <c r="B73" s="35" t="s">
        <v>86</v>
      </c>
      <c r="C73" s="35" t="s">
        <v>94</v>
      </c>
      <c r="D73" s="36">
        <v>-0.0392063440124745</v>
      </c>
      <c r="E73" s="37">
        <v>-0.636075646120525</v>
      </c>
      <c r="F73" s="38">
        <f t="shared" si="3"/>
        <v>4.73695296987479</v>
      </c>
    </row>
    <row r="74" spans="2:6">
      <c r="B74" s="35" t="s">
        <v>86</v>
      </c>
      <c r="C74" s="35" t="s">
        <v>95</v>
      </c>
      <c r="D74" s="36">
        <v>-0.0854262525235451</v>
      </c>
      <c r="E74" s="37">
        <v>-0.636075646120525</v>
      </c>
      <c r="F74" s="38">
        <f t="shared" si="3"/>
        <v>3.8886668051367</v>
      </c>
    </row>
    <row r="75" spans="2:6">
      <c r="B75" s="35" t="s">
        <v>86</v>
      </c>
      <c r="C75" s="35" t="s">
        <v>96</v>
      </c>
      <c r="D75" s="36">
        <v>-0.156384955776503</v>
      </c>
      <c r="E75" s="37">
        <v>-0.636075646120525</v>
      </c>
      <c r="F75" s="38">
        <f t="shared" si="3"/>
        <v>2.5863430192118</v>
      </c>
    </row>
    <row r="76" spans="2:6">
      <c r="B76" s="35" t="s">
        <v>86</v>
      </c>
      <c r="C76" s="35" t="s">
        <v>97</v>
      </c>
      <c r="D76" s="36">
        <v>-0.221148019475204</v>
      </c>
      <c r="E76" s="37">
        <v>-0.636075646120525</v>
      </c>
      <c r="F76" s="38">
        <f t="shared" si="3"/>
        <v>1.39772943923249</v>
      </c>
    </row>
    <row r="77" spans="2:6">
      <c r="B77" s="35" t="s">
        <v>86</v>
      </c>
      <c r="C77" s="35" t="s">
        <v>98</v>
      </c>
      <c r="D77" s="36">
        <v>-0.312832564742325</v>
      </c>
      <c r="E77" s="37">
        <v>-0.636075646120525</v>
      </c>
      <c r="F77" s="38">
        <f t="shared" si="3"/>
        <v>-0.284981188629809</v>
      </c>
    </row>
    <row r="78" spans="2:6">
      <c r="B78" s="35" t="s">
        <v>86</v>
      </c>
      <c r="C78" s="35" t="s">
        <v>25</v>
      </c>
      <c r="D78" s="36">
        <v>-0.57918855206992</v>
      </c>
      <c r="E78" s="37">
        <v>-0.636075646120525</v>
      </c>
      <c r="F78" s="38">
        <f t="shared" si="3"/>
        <v>-5.17348283702736</v>
      </c>
    </row>
    <row r="79" spans="2:6">
      <c r="B79" s="44" t="s">
        <v>99</v>
      </c>
      <c r="C79" s="44" t="s">
        <v>100</v>
      </c>
      <c r="D79" s="45">
        <v>0.174098263752362</v>
      </c>
      <c r="E79" s="46">
        <v>-0.559902158906274</v>
      </c>
      <c r="F79" s="47">
        <f t="shared" si="3"/>
        <v>8.26913769975129</v>
      </c>
    </row>
    <row r="80" spans="2:6">
      <c r="B80" s="44" t="s">
        <v>99</v>
      </c>
      <c r="C80" s="44" t="s">
        <v>101</v>
      </c>
      <c r="D80" s="45">
        <v>0.0862897085935014</v>
      </c>
      <c r="E80" s="46">
        <v>-0.559902158906274</v>
      </c>
      <c r="F80" s="47">
        <f t="shared" si="3"/>
        <v>6.85055876059524</v>
      </c>
    </row>
    <row r="81" spans="2:6">
      <c r="B81" s="44" t="s">
        <v>99</v>
      </c>
      <c r="C81" s="44" t="s">
        <v>102</v>
      </c>
      <c r="D81" s="45">
        <v>-0.197603867853502</v>
      </c>
      <c r="E81" s="46">
        <v>-0.559902158906274</v>
      </c>
      <c r="F81" s="47">
        <f t="shared" si="3"/>
        <v>2.26415544510044</v>
      </c>
    </row>
    <row r="82" spans="2:6">
      <c r="B82" s="48" t="s">
        <v>103</v>
      </c>
      <c r="C82" s="48" t="s">
        <v>104</v>
      </c>
      <c r="D82" s="49">
        <v>0.174826868384125</v>
      </c>
      <c r="E82" s="50">
        <v>-0.481461949157216</v>
      </c>
      <c r="F82" s="51">
        <f t="shared" ref="F82:F93" si="4">((E82*D82)+($I$8/12))*-$I$5</f>
        <v>7.88522186505772</v>
      </c>
    </row>
    <row r="83" spans="2:6">
      <c r="B83" s="48" t="s">
        <v>103</v>
      </c>
      <c r="C83" s="48" t="s">
        <v>105</v>
      </c>
      <c r="D83" s="49">
        <v>0.263346651146595</v>
      </c>
      <c r="E83" s="50">
        <v>-0.481461949157216</v>
      </c>
      <c r="F83" s="51">
        <f t="shared" si="4"/>
        <v>9.11494358486226</v>
      </c>
    </row>
    <row r="84" spans="2:6">
      <c r="B84" s="48" t="s">
        <v>103</v>
      </c>
      <c r="C84" s="48" t="s">
        <v>106</v>
      </c>
      <c r="D84" s="49">
        <v>0.191430374387969</v>
      </c>
      <c r="E84" s="50">
        <v>-0.481461949157216</v>
      </c>
      <c r="F84" s="51">
        <f t="shared" si="4"/>
        <v>8.11587868911048</v>
      </c>
    </row>
    <row r="85" spans="2:6">
      <c r="B85" s="48" t="s">
        <v>103</v>
      </c>
      <c r="C85" s="48" t="s">
        <v>107</v>
      </c>
      <c r="D85" s="49">
        <v>0.14120071769434</v>
      </c>
      <c r="E85" s="50">
        <v>-0.481461949157216</v>
      </c>
      <c r="F85" s="51">
        <f t="shared" si="4"/>
        <v>7.41808551919018</v>
      </c>
    </row>
    <row r="86" spans="2:6">
      <c r="B86" s="48" t="s">
        <v>103</v>
      </c>
      <c r="C86" s="48" t="s">
        <v>108</v>
      </c>
      <c r="D86" s="49">
        <v>0.0865968424636829</v>
      </c>
      <c r="E86" s="50">
        <v>-0.481461949157216</v>
      </c>
      <c r="F86" s="51">
        <f t="shared" si="4"/>
        <v>6.65952546333445</v>
      </c>
    </row>
    <row r="87" spans="2:6">
      <c r="B87" s="48" t="s">
        <v>103</v>
      </c>
      <c r="C87" s="48" t="s">
        <v>109</v>
      </c>
      <c r="D87" s="49">
        <v>0.0557116472594914</v>
      </c>
      <c r="E87" s="50">
        <v>-0.481461949157216</v>
      </c>
      <c r="F87" s="51">
        <f t="shared" si="4"/>
        <v>6.23046662272577</v>
      </c>
    </row>
    <row r="88" spans="2:6">
      <c r="B88" s="48" t="s">
        <v>103</v>
      </c>
      <c r="C88" s="48" t="s">
        <v>110</v>
      </c>
      <c r="D88" s="49">
        <v>-0.00659731215042791</v>
      </c>
      <c r="E88" s="50">
        <v>-0.481461949157216</v>
      </c>
      <c r="F88" s="51">
        <f t="shared" si="4"/>
        <v>5.36486711114085</v>
      </c>
    </row>
    <row r="89" spans="2:6">
      <c r="B89" s="48" t="s">
        <v>103</v>
      </c>
      <c r="C89" s="48" t="s">
        <v>111</v>
      </c>
      <c r="D89" s="49">
        <v>-0.0503316657580072</v>
      </c>
      <c r="E89" s="50">
        <v>-0.481461949157216</v>
      </c>
      <c r="F89" s="51">
        <f t="shared" si="4"/>
        <v>4.75730705106743</v>
      </c>
    </row>
    <row r="90" spans="2:6">
      <c r="B90" s="48" t="s">
        <v>103</v>
      </c>
      <c r="C90" s="48" t="s">
        <v>112</v>
      </c>
      <c r="D90" s="49">
        <v>-0.128483686438361</v>
      </c>
      <c r="E90" s="50">
        <v>-0.481461949157216</v>
      </c>
      <c r="F90" s="51">
        <f t="shared" si="4"/>
        <v>3.67161485574056</v>
      </c>
    </row>
    <row r="91" spans="2:6">
      <c r="B91" s="48" t="s">
        <v>103</v>
      </c>
      <c r="C91" s="48" t="s">
        <v>113</v>
      </c>
      <c r="D91" s="49">
        <v>-0.147916083463182</v>
      </c>
      <c r="E91" s="50">
        <v>-0.481461949157216</v>
      </c>
      <c r="F91" s="51">
        <f t="shared" si="4"/>
        <v>3.40165892110603</v>
      </c>
    </row>
    <row r="92" spans="2:6">
      <c r="B92" s="48" t="s">
        <v>103</v>
      </c>
      <c r="C92" s="48" t="s">
        <v>114</v>
      </c>
      <c r="D92" s="49">
        <v>-0.185443020043559</v>
      </c>
      <c r="E92" s="50">
        <v>-0.481461949157216</v>
      </c>
      <c r="F92" s="51">
        <f t="shared" si="4"/>
        <v>2.88033264182169</v>
      </c>
    </row>
    <row r="93" spans="2:6">
      <c r="B93" s="48" t="s">
        <v>103</v>
      </c>
      <c r="C93" s="48" t="s">
        <v>115</v>
      </c>
      <c r="D93" s="49">
        <v>-0.206546940713818</v>
      </c>
      <c r="E93" s="50">
        <v>-0.481461949157216</v>
      </c>
      <c r="F93" s="51">
        <f t="shared" si="4"/>
        <v>2.58715580822182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Tahfim</dc:creator>
  <cp:lastModifiedBy>Tahfim</cp:lastModifiedBy>
  <dcterms:created xsi:type="dcterms:W3CDTF">2026-10-20T03:49:00Z</dcterms:created>
  <dcterms:modified xsi:type="dcterms:W3CDTF">2026-10-21T15:58:34Z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51DF18712C994EA0A4633DFEE0FFB785_11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